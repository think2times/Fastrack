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展示表" sheetId="1" r:id="rId1"/>
    <sheet name="原表" sheetId="2" r:id="rId2"/>
  </sheets>
  <calcPr calcId="144525"/>
</workbook>
</file>

<file path=xl/sharedStrings.xml><?xml version="1.0" encoding="utf-8"?>
<sst xmlns="http://schemas.openxmlformats.org/spreadsheetml/2006/main" count="40" uniqueCount="21">
  <si>
    <t xml:space="preserve">     知识点
年份</t>
  </si>
  <si>
    <t>计算</t>
  </si>
  <si>
    <t>统计
与概率</t>
  </si>
  <si>
    <t>几何</t>
  </si>
  <si>
    <t>函数</t>
  </si>
  <si>
    <t>三视图</t>
  </si>
  <si>
    <t>平行</t>
  </si>
  <si>
    <t>对称</t>
  </si>
  <si>
    <t>三角形</t>
  </si>
  <si>
    <t>四边形</t>
  </si>
  <si>
    <t>圆</t>
  </si>
  <si>
    <t>小计</t>
  </si>
  <si>
    <t>一次函数</t>
  </si>
  <si>
    <t>二次函数</t>
  </si>
  <si>
    <t>反比例函数</t>
  </si>
  <si>
    <t>三角函数</t>
  </si>
  <si>
    <t>平均值</t>
  </si>
  <si>
    <t>计算：绝对值、相反数、倒数、科学计数法、整式、分式、根式、
一元一次方程、一元一次不等式、二元一次方程组、一元二次方程
三角形：周长、面积、直角三角形、等腰三角形、等腰直角三角形、
          等边三角形、勾股定理、全等、相似、角平分线、中垂线
四边形：平行四边形、矩形、菱形、正方形、梯形、直角梯形、等腰梯形、多边形</t>
  </si>
  <si>
    <t>总分</t>
  </si>
  <si>
    <t>合计</t>
  </si>
  <si>
    <t>平均数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</si>
</sst>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7">
    <font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20"/>
      <color theme="1"/>
      <name val="宋体"/>
      <charset val="134"/>
    </font>
    <font>
      <b/>
      <sz val="14"/>
      <color theme="1"/>
      <name val="等线"/>
      <charset val="134"/>
      <scheme val="minor"/>
    </font>
    <font>
      <b/>
      <sz val="12"/>
      <color rgb="FF000000"/>
      <name val="等线"/>
      <charset val="134"/>
    </font>
    <font>
      <b/>
      <sz val="14"/>
      <color rgb="FF000000"/>
      <name val="等线"/>
      <charset val="134"/>
    </font>
    <font>
      <b/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5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2" borderId="16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P38"/>
  <sheetViews>
    <sheetView tabSelected="1" workbookViewId="0">
      <selection activeCell="T27" sqref="T27"/>
    </sheetView>
  </sheetViews>
  <sheetFormatPr defaultColWidth="9" defaultRowHeight="14.25"/>
  <cols>
    <col min="1" max="1" width="3.875" customWidth="1"/>
    <col min="2" max="2" width="15.25" customWidth="1"/>
    <col min="3" max="4" width="12.5" customWidth="1"/>
    <col min="5" max="5" width="10.25" customWidth="1"/>
    <col min="6" max="7" width="10.375" customWidth="1"/>
    <col min="8" max="8" width="12.75" customWidth="1"/>
    <col min="9" max="9" width="11.75" customWidth="1"/>
    <col min="10" max="10" width="11.5" customWidth="1"/>
    <col min="11" max="11" width="13.0833333333333" customWidth="1"/>
    <col min="12" max="12" width="12" customWidth="1"/>
    <col min="13" max="13" width="12.5" customWidth="1"/>
    <col min="14" max="14" width="10.875" customWidth="1"/>
    <col min="15" max="15" width="10.75" customWidth="1"/>
    <col min="16" max="16" width="12.875" customWidth="1"/>
    <col min="17" max="17" width="4.25" customWidth="1"/>
  </cols>
  <sheetData>
    <row r="7" customFormat="1" ht="24.75" customHeight="1" spans="2:16">
      <c r="B7" s="3" t="s">
        <v>0</v>
      </c>
      <c r="C7" s="4" t="s">
        <v>1</v>
      </c>
      <c r="D7" s="4" t="s">
        <v>2</v>
      </c>
      <c r="E7" s="5" t="s">
        <v>3</v>
      </c>
      <c r="F7" s="5"/>
      <c r="G7" s="5"/>
      <c r="H7" s="5"/>
      <c r="I7" s="5"/>
      <c r="J7" s="5"/>
      <c r="K7" s="5"/>
      <c r="L7" s="5" t="s">
        <v>4</v>
      </c>
      <c r="M7" s="5"/>
      <c r="N7" s="5"/>
      <c r="O7" s="5"/>
      <c r="P7" s="5"/>
    </row>
    <row r="8" s="1" customFormat="1" ht="18" customHeight="1" spans="2:16">
      <c r="B8" s="3"/>
      <c r="C8" s="4"/>
      <c r="D8" s="4"/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  <c r="N8" s="4" t="s">
        <v>14</v>
      </c>
      <c r="O8" s="4" t="s">
        <v>15</v>
      </c>
      <c r="P8" s="4" t="s">
        <v>11</v>
      </c>
    </row>
    <row r="9" s="1" customFormat="1" ht="18" customHeight="1" spans="2:16">
      <c r="B9" s="6">
        <v>2026</v>
      </c>
      <c r="C9" s="24" t="str">
        <f>原表!C6&amp;IF(原表!C6/150=0,"","/"&amp;TEXT(原表!C6/150,IF(MOD(原表!C6/150,0.01)=0,"0%","0.00%")))</f>
        <v>46/30.67%</v>
      </c>
      <c r="D9" s="24" t="str">
        <f>原表!D6&amp;IF(原表!D6/150=0,"","/"&amp;TEXT(原表!D6/150,IF(MOD(原表!D6/150,0.01)=0,"0%","0.00%")))</f>
        <v>20/13.33%</v>
      </c>
      <c r="E9" s="24" t="str">
        <f>原表!E6&amp;IF(原表!E6/150=0,"","/"&amp;TEXT(原表!E6/150,IF(MOD(原表!E6/150,0.01)=0,"0%","0.00%")))</f>
        <v>0</v>
      </c>
      <c r="F9" s="24" t="str">
        <f>原表!F6&amp;IF(原表!F6/150=0,"","/"&amp;TEXT(原表!F6/150,IF(MOD(原表!F6/150,0.01)=0,"0%","0.00%")))</f>
        <v>4/2.67%</v>
      </c>
      <c r="G9" s="24" t="str">
        <f>原表!G6&amp;IF(原表!G6/150=0,"","/"&amp;TEXT(原表!G6/150,IF(MOD(原表!G6/150,0.01)=0,"0%","0.00%")))</f>
        <v>0</v>
      </c>
      <c r="H9" s="24" t="str">
        <f>原表!H6&amp;IF(原表!H6/150=0,"","/"&amp;TEXT(原表!H6/150,IF(MOD(原表!H6/150,0.01)=0,"0%","0.00%")))</f>
        <v>24/16%</v>
      </c>
      <c r="I9" s="24" t="str">
        <f>原表!I6&amp;IF(原表!I6/150=0,"","/"&amp;TEXT(原表!I6/150,IF(MOD(原表!I6/150,0.01)=0,"0%","0.00%")))</f>
        <v>9/6%</v>
      </c>
      <c r="J9" s="24" t="str">
        <f>原表!J6&amp;IF(原表!J6/150=0,"","/"&amp;TEXT(原表!J6/150,IF(MOD(原表!J6/150,0.01)=0,"0%","0.00%")))</f>
        <v>19/12.67%</v>
      </c>
      <c r="K9" s="24" t="str">
        <f>原表!K6&amp;IF(原表!K6/150=0,"","/"&amp;TEXT(原表!K6/150,IF(MOD(原表!K6/150,0.01)=0,"0%","0.00%")))</f>
        <v>56/37.33%</v>
      </c>
      <c r="L9" s="24" t="str">
        <f>原表!L6&amp;IF(原表!L6/150=0,"","/"&amp;TEXT(原表!L6/150,IF(MOD(原表!L6/150,0.01)=0,"0%","0.00%")))</f>
        <v>0</v>
      </c>
      <c r="M9" s="24" t="str">
        <f>原表!M6&amp;IF(原表!M6/150=0,"","/"&amp;TEXT(原表!M6/150,IF(MOD(原表!M6/150,0.01)=0,"0%","0.00%")))</f>
        <v>14/9.33%</v>
      </c>
      <c r="N9" s="24" t="str">
        <f>原表!N6&amp;IF(原表!N6/150=0,"","/"&amp;TEXT(原表!N6/150,IF(MOD(原表!N6/150,0.01)=0,"0%","0.00%")))</f>
        <v>4/2.67%</v>
      </c>
      <c r="O9" s="24" t="str">
        <f>原表!O6&amp;IF(原表!O6/150=0,"","/"&amp;TEXT(原表!O6/150,IF(MOD(原表!O6/150,0.01)=0,"0%","0.00%")))</f>
        <v>10/6.67%</v>
      </c>
      <c r="P9" s="24" t="str">
        <f>原表!P6&amp;IF(原表!P6/150=0,"","/"&amp;TEXT(原表!P6/150,IF(MOD(原表!P6/150,0.01)=0,"0%","0.00%")))</f>
        <v>28/18.67%</v>
      </c>
    </row>
    <row r="10" s="1" customFormat="1" ht="18" customHeight="1" spans="2:16">
      <c r="B10" s="6">
        <v>2025</v>
      </c>
      <c r="C10" s="24" t="str">
        <f>原表!C7&amp;IF(原表!C7/150=0,"","/"&amp;TEXT(原表!C7/150,IF(MOD(原表!C7/150,0.01)=0,"0%","0.00%")))</f>
        <v>46/30.67%</v>
      </c>
      <c r="D10" s="24" t="str">
        <f>原表!D7&amp;IF(原表!D7/150=0,"","/"&amp;TEXT(原表!D7/150,IF(MOD(原表!D7/150,0.01)=0,"0%","0.00%")))</f>
        <v>16/10.67%</v>
      </c>
      <c r="E10" s="24" t="str">
        <f>原表!E7&amp;IF(原表!E7/150=0,"","/"&amp;TEXT(原表!E7/150,IF(MOD(原表!E7/150,0.01)=0,"0%","0.00%")))</f>
        <v>0</v>
      </c>
      <c r="F10" s="24" t="str">
        <f>原表!F7&amp;IF(原表!F7/150=0,"","/"&amp;TEXT(原表!F7/150,IF(MOD(原表!F7/150,0.01)=0,"0%","0.00%")))</f>
        <v>4/2.67%</v>
      </c>
      <c r="G10" s="24" t="str">
        <f>原表!G7&amp;IF(原表!G7/150=0,"","/"&amp;TEXT(原表!G7/150,IF(MOD(原表!G7/150,0.01)=0,"0%","0.00%")))</f>
        <v>4/2.67%</v>
      </c>
      <c r="H10" s="24" t="str">
        <f>原表!H7&amp;IF(原表!H7/150=0,"","/"&amp;TEXT(原表!H7/150,IF(MOD(原表!H7/150,0.01)=0,"0%","0.00%")))</f>
        <v>24/16%</v>
      </c>
      <c r="I10" s="24" t="str">
        <f>原表!I7&amp;IF(原表!I7/150=0,"","/"&amp;TEXT(原表!I7/150,IF(MOD(原表!I7/150,0.01)=0,"0%","0.00%")))</f>
        <v>9/6%</v>
      </c>
      <c r="J10" s="24" t="str">
        <f>原表!J7&amp;IF(原表!J7/150=0,"","/"&amp;TEXT(原表!J7/150,IF(MOD(原表!J7/150,0.01)=0,"0%","0.00%")))</f>
        <v>15/10%</v>
      </c>
      <c r="K10" s="24" t="str">
        <f>原表!K7&amp;IF(原表!K7/150=0,"","/"&amp;TEXT(原表!K7/150,IF(MOD(原表!K7/150,0.01)=0,"0%","0.00%")))</f>
        <v>56/37.33%</v>
      </c>
      <c r="L10" s="24" t="str">
        <f>原表!L7&amp;IF(原表!L7/150=0,"","/"&amp;TEXT(原表!L7/150,IF(MOD(原表!L7/150,0.01)=0,"0%","0.00%")))</f>
        <v>8/5.33%</v>
      </c>
      <c r="M10" s="24" t="str">
        <f>原表!M7&amp;IF(原表!M7/150=0,"","/"&amp;TEXT(原表!M7/150,IF(MOD(原表!M7/150,0.01)=0,"0%","0.00%")))</f>
        <v>10/6.67%</v>
      </c>
      <c r="N10" s="24" t="str">
        <f>原表!N7&amp;IF(原表!N7/150=0,"","/"&amp;TEXT(原表!N7/150,IF(MOD(原表!N7/150,0.01)=0,"0%","0.00%")))</f>
        <v>4/2.67%</v>
      </c>
      <c r="O10" s="24" t="str">
        <f>原表!O7&amp;IF(原表!O7/150=0,"","/"&amp;TEXT(原表!O7/150,IF(MOD(原表!O7/150,0.01)=0,"0%","0.00%")))</f>
        <v>10/6.67%</v>
      </c>
      <c r="P10" s="24" t="str">
        <f>原表!P7&amp;IF(原表!P7/150=0,"","/"&amp;TEXT(原表!P7/150,IF(MOD(原表!P7/150,0.01)=0,"0%","0.00%")))</f>
        <v>32/21.33%</v>
      </c>
    </row>
    <row r="11" s="1" customFormat="1" ht="18" customHeight="1" spans="2:16">
      <c r="B11" s="6">
        <v>2024</v>
      </c>
      <c r="C11" s="24" t="str">
        <f>原表!C8&amp;IF(原表!C8/150=0,"","/"&amp;TEXT(原表!C8/150,IF(MOD(原表!C8/150,0.01)=0,"0%","0.00%")))</f>
        <v>42/28%</v>
      </c>
      <c r="D11" s="24" t="str">
        <f>原表!D8&amp;IF(原表!D8/150=0,"","/"&amp;TEXT(原表!D8/150,IF(MOD(原表!D8/150,0.01)=0,"0%","0.00%")))</f>
        <v>18/12%</v>
      </c>
      <c r="E11" s="24" t="str">
        <f>原表!E8&amp;IF(原表!E8/150=0,"","/"&amp;TEXT(原表!E8/150,IF(MOD(原表!E8/150,0.01)=0,"0%","0.00%")))</f>
        <v>4/2.67%</v>
      </c>
      <c r="F11" s="24" t="str">
        <f>原表!F8&amp;IF(原表!F8/150=0,"","/"&amp;TEXT(原表!F8/150,IF(MOD(原表!F8/150,0.01)=0,"0%","0.00%")))</f>
        <v>0</v>
      </c>
      <c r="G11" s="24" t="str">
        <f>原表!G8&amp;IF(原表!G8/150=0,"","/"&amp;TEXT(原表!G8/150,IF(MOD(原表!G8/150,0.01)=0,"0%","0.00%")))</f>
        <v>0</v>
      </c>
      <c r="H11" s="24" t="str">
        <f>原表!H8&amp;IF(原表!H8/150=0,"","/"&amp;TEXT(原表!H8/150,IF(MOD(原表!H8/150,0.01)=0,"0%","0.00%")))</f>
        <v>28/18.67%</v>
      </c>
      <c r="I11" s="24" t="str">
        <f>原表!I8&amp;IF(原表!I8/150=0,"","/"&amp;TEXT(原表!I8/150,IF(MOD(原表!I8/150,0.01)=0,"0%","0.00%")))</f>
        <v>9/6%</v>
      </c>
      <c r="J11" s="24" t="str">
        <f>原表!J8&amp;IF(原表!J8/150=0,"","/"&amp;TEXT(原表!J8/150,IF(MOD(原表!J8/150,0.01)=0,"0%","0.00%")))</f>
        <v>15/10%</v>
      </c>
      <c r="K11" s="24" t="str">
        <f>原表!K8&amp;IF(原表!K8/150=0,"","/"&amp;TEXT(原表!K8/150,IF(MOD(原表!K8/150,0.01)=0,"0%","0.00%")))</f>
        <v>56/37.33%</v>
      </c>
      <c r="L11" s="24" t="str">
        <f>原表!L8&amp;IF(原表!L8/150=0,"","/"&amp;TEXT(原表!L8/150,IF(MOD(原表!L8/150,0.01)=0,"0%","0.00%")))</f>
        <v>4/2.67%</v>
      </c>
      <c r="M11" s="24" t="str">
        <f>原表!M8&amp;IF(原表!M8/150=0,"","/"&amp;TEXT(原表!M8/150,IF(MOD(原表!M8/150,0.01)=0,"0%","0.00%")))</f>
        <v>16/10.67%</v>
      </c>
      <c r="N11" s="24" t="str">
        <f>原表!N8&amp;IF(原表!N8/150=0,"","/"&amp;TEXT(原表!N8/150,IF(MOD(原表!N8/150,0.01)=0,"0%","0.00%")))</f>
        <v>4/2.67%</v>
      </c>
      <c r="O11" s="24" t="str">
        <f>原表!O8&amp;IF(原表!O8/150=0,"","/"&amp;TEXT(原表!O8/150,IF(MOD(原表!O8/150,0.01)=0,"0%","0.00%")))</f>
        <v>10/6.67%</v>
      </c>
      <c r="P11" s="24" t="str">
        <f>原表!P8&amp;IF(原表!P8/150=0,"","/"&amp;TEXT(原表!P8/150,IF(MOD(原表!P8/150,0.01)=0,"0%","0.00%")))</f>
        <v>34/22.67%</v>
      </c>
    </row>
    <row r="12" customFormat="1" ht="18" spans="2:16">
      <c r="B12" s="6">
        <v>2023</v>
      </c>
      <c r="C12" s="24" t="str">
        <f>原表!C9&amp;IF(原表!C9/150=0,"","/"&amp;TEXT(原表!C9/150,IF(MOD(原表!C9/150,0.01)=0,"0%","0.00%")))</f>
        <v>43/28.67%</v>
      </c>
      <c r="D12" s="24" t="str">
        <f>原表!D9&amp;IF(原表!D9/150=0,"","/"&amp;TEXT(原表!D9/150,IF(MOD(原表!D9/150,0.01)=0,"0%","0.00%")))</f>
        <v>15/10%</v>
      </c>
      <c r="E12" s="24" t="str">
        <f>原表!E9&amp;IF(原表!E9/150=0,"","/"&amp;TEXT(原表!E9/150,IF(MOD(原表!E9/150,0.01)=0,"0%","0.00%")))</f>
        <v>0</v>
      </c>
      <c r="F12" s="24" t="str">
        <f>原表!F9&amp;IF(原表!F9/150=0,"","/"&amp;TEXT(原表!F9/150,IF(MOD(原表!F9/150,0.01)=0,"0%","0.00%")))</f>
        <v>0</v>
      </c>
      <c r="G12" s="24" t="str">
        <f>原表!G9&amp;IF(原表!G9/150=0,"","/"&amp;TEXT(原表!G9/150,IF(MOD(原表!G9/150,0.01)=0,"0%","0.00%")))</f>
        <v>4/2.67%</v>
      </c>
      <c r="H12" s="24" t="str">
        <f>原表!H9&amp;IF(原表!H9/150=0,"","/"&amp;TEXT(原表!H9/150,IF(MOD(原表!H9/150,0.01)=0,"0%","0.00%")))</f>
        <v>19/12.67%</v>
      </c>
      <c r="I12" s="24" t="str">
        <f>原表!I9&amp;IF(原表!I9/150=0,"","/"&amp;TEXT(原表!I9/150,IF(MOD(原表!I9/150,0.01)=0,"0%","0.00%")))</f>
        <v>13/8.67%</v>
      </c>
      <c r="J12" s="24" t="str">
        <f>原表!J9&amp;IF(原表!J9/150=0,"","/"&amp;TEXT(原表!J9/150,IF(MOD(原表!J9/150,0.01)=0,"0%","0.00%")))</f>
        <v>15/10%</v>
      </c>
      <c r="K12" s="24" t="str">
        <f>原表!K9&amp;IF(原表!K9/150=0,"","/"&amp;TEXT(原表!K9/150,IF(MOD(原表!K9/150,0.01)=0,"0%","0.00%")))</f>
        <v>51/34%</v>
      </c>
      <c r="L12" s="24" t="str">
        <f>原表!L9&amp;IF(原表!L9/150=0,"","/"&amp;TEXT(原表!L9/150,IF(MOD(原表!L9/150,0.01)=0,"0%","0.00%")))</f>
        <v>18/12%</v>
      </c>
      <c r="M12" s="24" t="str">
        <f>原表!M9&amp;IF(原表!M9/150=0,"","/"&amp;TEXT(原表!M9/150,IF(MOD(原表!M9/150,0.01)=0,"0%","0.00%")))</f>
        <v>9/6%</v>
      </c>
      <c r="N12" s="24" t="str">
        <f>原表!N9&amp;IF(原表!N9/150=0,"","/"&amp;TEXT(原表!N9/150,IF(MOD(原表!N9/150,0.01)=0,"0%","0.00%")))</f>
        <v>4/2.67%</v>
      </c>
      <c r="O12" s="24" t="str">
        <f>原表!O9&amp;IF(原表!O9/150=0,"","/"&amp;TEXT(原表!O9/150,IF(MOD(原表!O9/150,0.01)=0,"0%","0.00%")))</f>
        <v>10/6.67%</v>
      </c>
      <c r="P12" s="24" t="str">
        <f>原表!P9&amp;IF(原表!P9/150=0,"","/"&amp;TEXT(原表!P9/150,IF(MOD(原表!P9/150,0.01)=0,"0%","0.00%")))</f>
        <v>41/27.33%</v>
      </c>
    </row>
    <row r="13" customFormat="1" ht="18" spans="2:16">
      <c r="B13" s="6">
        <v>2022</v>
      </c>
      <c r="C13" s="24" t="str">
        <f>原表!C10&amp;IF(原表!C10/150=0,"","/"&amp;TEXT(原表!C10/150,IF(MOD(原表!C10/150,0.01)=0,"0%","0.00%")))</f>
        <v>44/29.33%</v>
      </c>
      <c r="D13" s="24" t="str">
        <f>原表!D10&amp;IF(原表!D10/150=0,"","/"&amp;TEXT(原表!D10/150,IF(MOD(原表!D10/150,0.01)=0,"0%","0.00%")))</f>
        <v>15/10%</v>
      </c>
      <c r="E13" s="24" t="str">
        <f>原表!E10&amp;IF(原表!E10/150=0,"","/"&amp;TEXT(原表!E10/150,IF(MOD(原表!E10/150,0.01)=0,"0%","0.00%")))</f>
        <v>5/3.33%</v>
      </c>
      <c r="F13" s="24" t="str">
        <f>原表!F10&amp;IF(原表!F10/150=0,"","/"&amp;TEXT(原表!F10/150,IF(MOD(原表!F10/150,0.01)=0,"0%","0.00%")))</f>
        <v>5/3.33%</v>
      </c>
      <c r="G13" s="24" t="str">
        <f>原表!G10&amp;IF(原表!G10/150=0,"","/"&amp;TEXT(原表!G10/150,IF(MOD(原表!G10/150,0.01)=0,"0%","0.00%")))</f>
        <v>5/3.33%</v>
      </c>
      <c r="H13" s="24" t="str">
        <f>原表!H10&amp;IF(原表!H10/150=0,"","/"&amp;TEXT(原表!H10/150,IF(MOD(原表!H10/150,0.01)=0,"0%","0.00%")))</f>
        <v>16/10.67%</v>
      </c>
      <c r="I13" s="24" t="str">
        <f>原表!I10&amp;IF(原表!I10/150=0,"","/"&amp;TEXT(原表!I10/150,IF(MOD(原表!I10/150,0.01)=0,"0%","0.00%")))</f>
        <v>10/6.67%</v>
      </c>
      <c r="J13" s="24" t="str">
        <f>原表!J10&amp;IF(原表!J10/150=0,"","/"&amp;TEXT(原表!J10/150,IF(MOD(原表!J10/150,0.01)=0,"0%","0.00%")))</f>
        <v>15/10%</v>
      </c>
      <c r="K13" s="24" t="str">
        <f>原表!K10&amp;IF(原表!K10/150=0,"","/"&amp;TEXT(原表!K10/150,IF(MOD(原表!K10/150,0.01)=0,"0%","0.00%")))</f>
        <v>56/37.33%</v>
      </c>
      <c r="L13" s="24" t="str">
        <f>原表!L10&amp;IF(原表!L10/150=0,"","/"&amp;TEXT(原表!L10/150,IF(MOD(原表!L10/150,0.01)=0,"0%","0.00%")))</f>
        <v>10/6.67%</v>
      </c>
      <c r="M13" s="24" t="str">
        <f>原表!M10&amp;IF(原表!M10/150=0,"","/"&amp;TEXT(原表!M10/150,IF(MOD(原表!M10/150,0.01)=0,"0%","0.00%")))</f>
        <v>10/6.67%</v>
      </c>
      <c r="N13" s="24" t="str">
        <f>原表!N10&amp;IF(原表!N10/150=0,"","/"&amp;TEXT(原表!N10/150,IF(MOD(原表!N10/150,0.01)=0,"0%","0.00%")))</f>
        <v>5/3.33%</v>
      </c>
      <c r="O13" s="24" t="str">
        <f>原表!O10&amp;IF(原表!O10/150=0,"","/"&amp;TEXT(原表!O10/150,IF(MOD(原表!O10/150,0.01)=0,"0%","0.00%")))</f>
        <v>10/6.67%</v>
      </c>
      <c r="P13" s="24" t="str">
        <f>原表!P10&amp;IF(原表!P10/150=0,"","/"&amp;TEXT(原表!P10/150,IF(MOD(原表!P10/150,0.01)=0,"0%","0.00%")))</f>
        <v>35/23.33%</v>
      </c>
    </row>
    <row r="14" customFormat="1" ht="18" spans="2:16">
      <c r="B14" s="6">
        <v>2021</v>
      </c>
      <c r="C14" s="24" t="str">
        <f>原表!C11&amp;IF(原表!C11/150=0,"","/"&amp;TEXT(原表!C11/150,IF(MOD(原表!C11/150,0.01)=0,"0%","0.00%")))</f>
        <v>43/28.67%</v>
      </c>
      <c r="D14" s="24" t="str">
        <f>原表!D11&amp;IF(原表!D11/150=0,"","/"&amp;TEXT(原表!D11/150,IF(MOD(原表!D11/150,0.01)=0,"0%","0.00%")))</f>
        <v>15/10%</v>
      </c>
      <c r="E14" s="24" t="str">
        <f>原表!E11&amp;IF(原表!E11/150=0,"","/"&amp;TEXT(原表!E11/150,IF(MOD(原表!E11/150,0.01)=0,"0%","0.00%")))</f>
        <v>0</v>
      </c>
      <c r="F14" s="24" t="str">
        <f>原表!F11&amp;IF(原表!F11/150=0,"","/"&amp;TEXT(原表!F11/150,IF(MOD(原表!F11/150,0.01)=0,"0%","0.00%")))</f>
        <v>5/3.33%</v>
      </c>
      <c r="G14" s="24" t="str">
        <f>原表!G11&amp;IF(原表!G11/150=0,"","/"&amp;TEXT(原表!G11/150,IF(MOD(原表!G11/150,0.01)=0,"0%","0.00%")))</f>
        <v>5/3.33%</v>
      </c>
      <c r="H14" s="24" t="str">
        <f>原表!H11&amp;IF(原表!H11/150=0,"","/"&amp;TEXT(原表!H11/150,IF(MOD(原表!H11/150,0.01)=0,"0%","0.00%")))</f>
        <v>15/10%</v>
      </c>
      <c r="I14" s="24" t="str">
        <f>原表!I11&amp;IF(原表!I11/150=0,"","/"&amp;TEXT(原表!I11/150,IF(MOD(原表!I11/150,0.01)=0,"0%","0.00%")))</f>
        <v>15/10%</v>
      </c>
      <c r="J14" s="24" t="str">
        <f>原表!J11&amp;IF(原表!J11/150=0,"","/"&amp;TEXT(原表!J11/150,IF(MOD(原表!J11/150,0.01)=0,"0%","0.00%")))</f>
        <v>11/7.33%</v>
      </c>
      <c r="K14" s="24" t="str">
        <f>原表!K11&amp;IF(原表!K11/150=0,"","/"&amp;TEXT(原表!K11/150,IF(MOD(原表!K11/150,0.01)=0,"0%","0.00%")))</f>
        <v>51/34%</v>
      </c>
      <c r="L14" s="24" t="str">
        <f>原表!L11&amp;IF(原表!L11/150=0,"","/"&amp;TEXT(原表!L11/150,IF(MOD(原表!L11/150,0.01)=0,"0%","0.00%")))</f>
        <v>5/3.33%</v>
      </c>
      <c r="M14" s="24" t="str">
        <f>原表!M11&amp;IF(原表!M11/150=0,"","/"&amp;TEXT(原表!M11/150,IF(MOD(原表!M11/150,0.01)=0,"0%","0.00%")))</f>
        <v>12/8%</v>
      </c>
      <c r="N14" s="24" t="str">
        <f>原表!N11&amp;IF(原表!N11/150=0,"","/"&amp;TEXT(原表!N11/150,IF(MOD(原表!N11/150,0.01)=0,"0%","0.00%")))</f>
        <v>14/9.33%</v>
      </c>
      <c r="O14" s="24" t="str">
        <f>原表!O11&amp;IF(原表!O11/150=0,"","/"&amp;TEXT(原表!O11/150,IF(MOD(原表!O11/150,0.01)=0,"0%","0.00%")))</f>
        <v>10/6.67%</v>
      </c>
      <c r="P14" s="24" t="str">
        <f>原表!P11&amp;IF(原表!P11/150=0,"","/"&amp;TEXT(原表!P11/150,IF(MOD(原表!P11/150,0.01)=0,"0%","0.00%")))</f>
        <v>41/27.33%</v>
      </c>
    </row>
    <row r="15" s="2" customFormat="1" ht="18" spans="2:16">
      <c r="B15" s="9">
        <v>2020</v>
      </c>
      <c r="C15" s="24" t="str">
        <f>原表!C12&amp;IF(原表!C12/150=0,"","/"&amp;TEXT(原表!C12/150,IF(MOD(原表!C12/150,0.01)=0,"0%","0.00%")))</f>
        <v>43/28.67%</v>
      </c>
      <c r="D15" s="24" t="str">
        <f>原表!D12&amp;IF(原表!D12/150=0,"","/"&amp;TEXT(原表!D12/150,IF(MOD(原表!D12/150,0.01)=0,"0%","0.00%")))</f>
        <v>20/13.33%</v>
      </c>
      <c r="E15" s="24" t="str">
        <f>原表!E12&amp;IF(原表!E12/150=0,"","/"&amp;TEXT(原表!E12/150,IF(MOD(原表!E12/150,0.01)=0,"0%","0.00%")))</f>
        <v>5/3.33%</v>
      </c>
      <c r="F15" s="24" t="str">
        <f>原表!F12&amp;IF(原表!F12/150=0,"","/"&amp;TEXT(原表!F12/150,IF(MOD(原表!F12/150,0.01)=0,"0%","0.00%")))</f>
        <v>5/3.33%</v>
      </c>
      <c r="G15" s="24" t="str">
        <f>原表!G12&amp;IF(原表!G12/150=0,"","/"&amp;TEXT(原表!G12/150,IF(MOD(原表!G12/150,0.01)=0,"0%","0.00%")))</f>
        <v>0</v>
      </c>
      <c r="H15" s="24" t="str">
        <f>原表!H12&amp;IF(原表!H12/150=0,"","/"&amp;TEXT(原表!H12/150,IF(MOD(原表!H12/150,0.01)=0,"0%","0.00%")))</f>
        <v>19/12.67%</v>
      </c>
      <c r="I15" s="24" t="str">
        <f>原表!I12&amp;IF(原表!I12/150=0,"","/"&amp;TEXT(原表!I12/150,IF(MOD(原表!I12/150,0.01)=0,"0%","0.00%")))</f>
        <v>4/2.67%</v>
      </c>
      <c r="J15" s="24" t="str">
        <f>原表!J12&amp;IF(原表!J12/150=0,"","/"&amp;TEXT(原表!J12/150,IF(MOD(原表!J12/150,0.01)=0,"0%","0.00%")))</f>
        <v>16/10.67%</v>
      </c>
      <c r="K15" s="24" t="str">
        <f>原表!K12&amp;IF(原表!K12/150=0,"","/"&amp;TEXT(原表!K12/150,IF(MOD(原表!K12/150,0.01)=0,"0%","0.00%")))</f>
        <v>49/32.67%</v>
      </c>
      <c r="L15" s="24" t="str">
        <f>原表!L12&amp;IF(原表!L12/150=0,"","/"&amp;TEXT(原表!L12/150,IF(MOD(原表!L12/150,0.01)=0,"0%","0.00%")))</f>
        <v>11/7.33%</v>
      </c>
      <c r="M15" s="24" t="str">
        <f>原表!M12&amp;IF(原表!M12/150=0,"","/"&amp;TEXT(原表!M12/150,IF(MOD(原表!M12/150,0.01)=0,"0%","0.00%")))</f>
        <v>18/12%</v>
      </c>
      <c r="N15" s="24" t="str">
        <f>原表!N12&amp;IF(原表!N12/150=0,"","/"&amp;TEXT(原表!N12/150,IF(MOD(原表!N12/150,0.01)=0,"0%","0.00%")))</f>
        <v>0</v>
      </c>
      <c r="O15" s="24" t="str">
        <f>原表!O12&amp;IF(原表!O12/150=0,"","/"&amp;TEXT(原表!O12/150,IF(MOD(原表!O12/150,0.01)=0,"0%","0.00%")))</f>
        <v>9/6%</v>
      </c>
      <c r="P15" s="24" t="str">
        <f>原表!P12&amp;IF(原表!P12/150=0,"","/"&amp;TEXT(原表!P12/150,IF(MOD(原表!P12/150,0.01)=0,"0%","0.00%")))</f>
        <v>38/25.33%</v>
      </c>
    </row>
    <row r="16" customFormat="1" ht="18" spans="2:16">
      <c r="B16" s="6">
        <v>2019</v>
      </c>
      <c r="C16" s="24" t="str">
        <f>原表!C13&amp;IF(原表!C13/150=0,"","/"&amp;TEXT(原表!C13/150,IF(MOD(原表!C13/150,0.01)=0,"0%","0.00%")))</f>
        <v>44/29.33%</v>
      </c>
      <c r="D16" s="24" t="str">
        <f>原表!D13&amp;IF(原表!D13/150=0,"","/"&amp;TEXT(原表!D13/150,IF(MOD(原表!D13/150,0.01)=0,"0%","0.00%")))</f>
        <v>18/12%</v>
      </c>
      <c r="E16" s="24" t="str">
        <f>原表!E13&amp;IF(原表!E13/150=0,"","/"&amp;TEXT(原表!E13/150,IF(MOD(原表!E13/150,0.01)=0,"0%","0.00%")))</f>
        <v>5/3.33%</v>
      </c>
      <c r="F16" s="24" t="str">
        <f>原表!F13&amp;IF(原表!F13/150=0,"","/"&amp;TEXT(原表!F13/150,IF(MOD(原表!F13/150,0.01)=0,"0%","0.00%")))</f>
        <v>5/3.33%</v>
      </c>
      <c r="G16" s="24" t="str">
        <f>原表!G13&amp;IF(原表!G13/150=0,"","/"&amp;TEXT(原表!G13/150,IF(MOD(原表!G13/150,0.01)=0,"0%","0.00%")))</f>
        <v>0</v>
      </c>
      <c r="H16" s="24" t="str">
        <f>原表!H13&amp;IF(原表!H13/150=0,"","/"&amp;TEXT(原表!H13/150,IF(MOD(原表!H13/150,0.01)=0,"0%","0.00%")))</f>
        <v>15/10%</v>
      </c>
      <c r="I16" s="24" t="str">
        <f>原表!I13&amp;IF(原表!I13/150=0,"","/"&amp;TEXT(原表!I13/150,IF(MOD(原表!I13/150,0.01)=0,"0%","0.00%")))</f>
        <v>15/10%</v>
      </c>
      <c r="J16" s="24" t="str">
        <f>原表!J13&amp;IF(原表!J13/150=0,"","/"&amp;TEXT(原表!J13/150,IF(MOD(原表!J13/150,0.01)=0,"0%","0.00%")))</f>
        <v>10/6.67%</v>
      </c>
      <c r="K16" s="24" t="str">
        <f>原表!K13&amp;IF(原表!K13/150=0,"","/"&amp;TEXT(原表!K13/150,IF(MOD(原表!K13/150,0.01)=0,"0%","0.00%")))</f>
        <v>50/33.33%</v>
      </c>
      <c r="L16" s="24" t="str">
        <f>原表!L13&amp;IF(原表!L13/150=0,"","/"&amp;TEXT(原表!L13/150,IF(MOD(原表!L13/150,0.01)=0,"0%","0.00%")))</f>
        <v>10/6.67%</v>
      </c>
      <c r="M16" s="24" t="str">
        <f>原表!M13&amp;IF(原表!M13/150=0,"","/"&amp;TEXT(原表!M13/150,IF(MOD(原表!M13/150,0.01)=0,"0%","0.00%")))</f>
        <v>13/8.67%</v>
      </c>
      <c r="N16" s="24" t="str">
        <f>原表!N13&amp;IF(原表!N13/150=0,"","/"&amp;TEXT(原表!N13/150,IF(MOD(原表!N13/150,0.01)=0,"0%","0.00%")))</f>
        <v>5/3.33%</v>
      </c>
      <c r="O16" s="24" t="str">
        <f>原表!O13&amp;IF(原表!O13/150=0,"","/"&amp;TEXT(原表!O13/150,IF(MOD(原表!O13/150,0.01)=0,"0%","0.00%")))</f>
        <v>10/6.67%</v>
      </c>
      <c r="P16" s="24" t="str">
        <f>原表!P13&amp;IF(原表!P13/150=0,"","/"&amp;TEXT(原表!P13/150,IF(MOD(原表!P13/150,0.01)=0,"0%","0.00%")))</f>
        <v>38/25.33%</v>
      </c>
    </row>
    <row r="17" customFormat="1" ht="18" spans="2:16">
      <c r="B17" s="6">
        <v>2018</v>
      </c>
      <c r="C17" s="24" t="str">
        <f>原表!C14&amp;IF(原表!C14/150=0,"","/"&amp;TEXT(原表!C14/150,IF(MOD(原表!C14/150,0.01)=0,"0%","0.00%")))</f>
        <v>32/21.33%</v>
      </c>
      <c r="D17" s="24" t="str">
        <f>原表!D14&amp;IF(原表!D14/150=0,"","/"&amp;TEXT(原表!D14/150,IF(MOD(原表!D14/150,0.01)=0,"0%","0.00%")))</f>
        <v>20/13.33%</v>
      </c>
      <c r="E17" s="24" t="str">
        <f>原表!E14&amp;IF(原表!E14/150=0,"","/"&amp;TEXT(原表!E14/150,IF(MOD(原表!E14/150,0.01)=0,"0%","0.00%")))</f>
        <v>4/2.67%</v>
      </c>
      <c r="F17" s="24" t="str">
        <f>原表!F14&amp;IF(原表!F14/150=0,"","/"&amp;TEXT(原表!F14/150,IF(MOD(原表!F14/150,0.01)=0,"0%","0.00%")))</f>
        <v>4/2.67%</v>
      </c>
      <c r="G17" s="24" t="str">
        <f>原表!G14&amp;IF(原表!G14/150=0,"","/"&amp;TEXT(原表!G14/150,IF(MOD(原表!G14/150,0.01)=0,"0%","0.00%")))</f>
        <v>4/2.67%</v>
      </c>
      <c r="H17" s="24" t="str">
        <f>原表!H14&amp;IF(原表!H14/150=0,"","/"&amp;TEXT(原表!H14/150,IF(MOD(原表!H14/150,0.01)=0,"0%","0.00%")))</f>
        <v>4/2.67%</v>
      </c>
      <c r="I17" s="24" t="str">
        <f>原表!I14&amp;IF(原表!I14/150=0,"","/"&amp;TEXT(原表!I14/150,IF(MOD(原表!I14/150,0.01)=0,"0%","0.00%")))</f>
        <v>18/12%</v>
      </c>
      <c r="J17" s="24" t="str">
        <f>原表!J14&amp;IF(原表!J14/150=0,"","/"&amp;TEXT(原表!J14/150,IF(MOD(原表!J14/150,0.01)=0,"0%","0.00%")))</f>
        <v>14/9.33%</v>
      </c>
      <c r="K17" s="24" t="str">
        <f>原表!K14&amp;IF(原表!K14/150=0,"","/"&amp;TEXT(原表!K14/150,IF(MOD(原表!K14/150,0.01)=0,"0%","0.00%")))</f>
        <v>48/32%</v>
      </c>
      <c r="L17" s="24" t="str">
        <f>原表!L14&amp;IF(原表!L14/150=0,"","/"&amp;TEXT(原表!L14/150,IF(MOD(原表!L14/150,0.01)=0,"0%","0.00%")))</f>
        <v>10/6.67%</v>
      </c>
      <c r="M17" s="24" t="str">
        <f>原表!M14&amp;IF(原表!M14/150=0,"","/"&amp;TEXT(原表!M14/150,IF(MOD(原表!M14/150,0.01)=0,"0%","0.00%")))</f>
        <v>20/13.33%</v>
      </c>
      <c r="N17" s="24" t="str">
        <f>原表!N14&amp;IF(原表!N14/150=0,"","/"&amp;TEXT(原表!N14/150,IF(MOD(原表!N14/150,0.01)=0,"0%","0.00%")))</f>
        <v>10/6.67%</v>
      </c>
      <c r="O17" s="24" t="str">
        <f>原表!O14&amp;IF(原表!O14/150=0,"","/"&amp;TEXT(原表!O14/150,IF(MOD(原表!O14/150,0.01)=0,"0%","0.00%")))</f>
        <v>10/6.67%</v>
      </c>
      <c r="P17" s="24" t="str">
        <f>原表!P14&amp;IF(原表!P14/150=0,"","/"&amp;TEXT(原表!P14/150,IF(MOD(原表!P14/150,0.01)=0,"0%","0.00%")))</f>
        <v>50/33.33%</v>
      </c>
    </row>
    <row r="18" customFormat="1" ht="18" spans="2:16">
      <c r="B18" s="6">
        <v>2017</v>
      </c>
      <c r="C18" s="24" t="str">
        <f>原表!C15&amp;IF(原表!C15/150=0,"","/"&amp;TEXT(原表!C15/150,IF(MOD(原表!C15/150,0.01)=0,"0%","0.00%")))</f>
        <v>47/31.33%</v>
      </c>
      <c r="D18" s="24" t="str">
        <f>原表!D15&amp;IF(原表!D15/150=0,"","/"&amp;TEXT(原表!D15/150,IF(MOD(原表!D15/150,0.01)=0,"0%","0.00%")))</f>
        <v>20/13.33%</v>
      </c>
      <c r="E18" s="24" t="str">
        <f>原表!E15&amp;IF(原表!E15/150=0,"","/"&amp;TEXT(原表!E15/150,IF(MOD(原表!E15/150,0.01)=0,"0%","0.00%")))</f>
        <v>5/3.33%</v>
      </c>
      <c r="F18" s="24" t="str">
        <f>原表!F15&amp;IF(原表!F15/150=0,"","/"&amp;TEXT(原表!F15/150,IF(MOD(原表!F15/150,0.01)=0,"0%","0.00%")))</f>
        <v>5/3.33%</v>
      </c>
      <c r="G18" s="24" t="str">
        <f>原表!G15&amp;IF(原表!G15/150=0,"","/"&amp;TEXT(原表!G15/150,IF(MOD(原表!G15/150,0.01)=0,"0%","0.00%")))</f>
        <v>0</v>
      </c>
      <c r="H18" s="24" t="str">
        <f>原表!H15&amp;IF(原表!H15/150=0,"","/"&amp;TEXT(原表!H15/150,IF(MOD(原表!H15/150,0.01)=0,"0%","0.00%")))</f>
        <v>4/2.67%</v>
      </c>
      <c r="I18" s="24" t="str">
        <f>原表!I15&amp;IF(原表!I15/150=0,"","/"&amp;TEXT(原表!I15/150,IF(MOD(原表!I15/150,0.01)=0,"0%","0.00%")))</f>
        <v>9/6%</v>
      </c>
      <c r="J18" s="24" t="str">
        <f>原表!J15&amp;IF(原表!J15/150=0,"","/"&amp;TEXT(原表!J15/150,IF(MOD(原表!J15/150,0.01)=0,"0%","0.00%")))</f>
        <v>17/11.33%</v>
      </c>
      <c r="K18" s="24" t="str">
        <f>原表!K15&amp;IF(原表!K15/150=0,"","/"&amp;TEXT(原表!K15/150,IF(MOD(原表!K15/150,0.01)=0,"0%","0.00%")))</f>
        <v>40/26.67%</v>
      </c>
      <c r="L18" s="24" t="str">
        <f>原表!L15&amp;IF(原表!L15/150=0,"","/"&amp;TEXT(原表!L15/150,IF(MOD(原表!L15/150,0.01)=0,"0%","0.00%")))</f>
        <v>10/6.67%</v>
      </c>
      <c r="M18" s="24" t="str">
        <f>原表!M15&amp;IF(原表!M15/150=0,"","/"&amp;TEXT(原表!M15/150,IF(MOD(原表!M15/150,0.01)=0,"0%","0.00%")))</f>
        <v>18/12%</v>
      </c>
      <c r="N18" s="24" t="str">
        <f>原表!N15&amp;IF(原表!N15/150=0,"","/"&amp;TEXT(原表!N15/150,IF(MOD(原表!N15/150,0.01)=0,"0%","0.00%")))</f>
        <v>5/3.33%</v>
      </c>
      <c r="O18" s="24" t="str">
        <f>原表!O15&amp;IF(原表!O15/150=0,"","/"&amp;TEXT(原表!O15/150,IF(MOD(原表!O15/150,0.01)=0,"0%","0.00%")))</f>
        <v>10/6.67%</v>
      </c>
      <c r="P18" s="24" t="str">
        <f>原表!P15&amp;IF(原表!P15/150=0,"","/"&amp;TEXT(原表!P15/150,IF(MOD(原表!P15/150,0.01)=0,"0%","0.00%")))</f>
        <v>43/28.67%</v>
      </c>
    </row>
    <row r="19" customFormat="1" ht="18" spans="2:16">
      <c r="B19" s="6">
        <v>2016</v>
      </c>
      <c r="C19" s="24" t="str">
        <f>原表!C16&amp;IF(原表!C16/150=0,"","/"&amp;TEXT(原表!C16/150,IF(MOD(原表!C16/150,0.01)=0,"0%","0.00%")))</f>
        <v>54/36%</v>
      </c>
      <c r="D19" s="24" t="str">
        <f>原表!D16&amp;IF(原表!D16/150=0,"","/"&amp;TEXT(原表!D16/150,IF(MOD(原表!D16/150,0.01)=0,"0%","0.00%")))</f>
        <v>20/13.33%</v>
      </c>
      <c r="E19" s="24" t="str">
        <f>原表!E16&amp;IF(原表!E16/150=0,"","/"&amp;TEXT(原表!E16/150,IF(MOD(原表!E16/150,0.01)=0,"0%","0.00%")))</f>
        <v>0</v>
      </c>
      <c r="F19" s="24" t="str">
        <f>原表!F16&amp;IF(原表!F16/150=0,"","/"&amp;TEXT(原表!F16/150,IF(MOD(原表!F16/150,0.01)=0,"0%","0.00%")))</f>
        <v>5/3.33%</v>
      </c>
      <c r="G19" s="24" t="str">
        <f>原表!G16&amp;IF(原表!G16/150=0,"","/"&amp;TEXT(原表!G16/150,IF(MOD(原表!G16/150,0.01)=0,"0%","0.00%")))</f>
        <v>0</v>
      </c>
      <c r="H19" s="24" t="str">
        <f>原表!H16&amp;IF(原表!H16/150=0,"","/"&amp;TEXT(原表!H16/150,IF(MOD(原表!H16/150,0.01)=0,"0%","0.00%")))</f>
        <v>15/10%</v>
      </c>
      <c r="I19" s="24" t="str">
        <f>原表!I16&amp;IF(原表!I16/150=0,"","/"&amp;TEXT(原表!I16/150,IF(MOD(原表!I16/150,0.01)=0,"0%","0.00%")))</f>
        <v>10/6.67%</v>
      </c>
      <c r="J19" s="24" t="str">
        <f>原表!J16&amp;IF(原表!J16/150=0,"","/"&amp;TEXT(原表!J16/150,IF(MOD(原表!J16/150,0.01)=0,"0%","0.00%")))</f>
        <v>10/6.67%</v>
      </c>
      <c r="K19" s="24" t="str">
        <f>原表!K16&amp;IF(原表!K16/150=0,"","/"&amp;TEXT(原表!K16/150,IF(MOD(原表!K16/150,0.01)=0,"0%","0.00%")))</f>
        <v>40/26.67%</v>
      </c>
      <c r="L19" s="24" t="str">
        <f>原表!L16&amp;IF(原表!L16/150=0,"","/"&amp;TEXT(原表!L16/150,IF(MOD(原表!L16/150,0.01)=0,"0%","0.00%")))</f>
        <v>10/6.67%</v>
      </c>
      <c r="M19" s="24" t="str">
        <f>原表!M16&amp;IF(原表!M16/150=0,"","/"&amp;TEXT(原表!M16/150,IF(MOD(原表!M16/150,0.01)=0,"0%","0.00%")))</f>
        <v>13/8.67%</v>
      </c>
      <c r="N19" s="24" t="str">
        <f>原表!N16&amp;IF(原表!N16/150=0,"","/"&amp;TEXT(原表!N16/150,IF(MOD(原表!N16/150,0.01)=0,"0%","0.00%")))</f>
        <v>5/3.33%</v>
      </c>
      <c r="O19" s="24" t="str">
        <f>原表!O16&amp;IF(原表!O16/150=0,"","/"&amp;TEXT(原表!O16/150,IF(MOD(原表!O16/150,0.01)=0,"0%","0.00%")))</f>
        <v>8/5.33%</v>
      </c>
      <c r="P19" s="24" t="str">
        <f>原表!P16&amp;IF(原表!P16/150=0,"","/"&amp;TEXT(原表!P16/150,IF(MOD(原表!P16/150,0.01)=0,"0%","0.00%")))</f>
        <v>36/24%</v>
      </c>
    </row>
    <row r="20" customFormat="1" ht="18" spans="2:16">
      <c r="B20" s="6">
        <v>2015</v>
      </c>
      <c r="C20" s="24" t="str">
        <f>原表!C17&amp;IF(原表!C17/150=0,"","/"&amp;TEXT(原表!C17/150,IF(MOD(原表!C17/150,0.01)=0,"0%","0.00%")))</f>
        <v>32/21.33%</v>
      </c>
      <c r="D20" s="24" t="str">
        <f>原表!D17&amp;IF(原表!D17/150=0,"","/"&amp;TEXT(原表!D17/150,IF(MOD(原表!D17/150,0.01)=0,"0%","0.00%")))</f>
        <v>20/13.33%</v>
      </c>
      <c r="E20" s="24" t="str">
        <f>原表!E17&amp;IF(原表!E17/150=0,"","/"&amp;TEXT(原表!E17/150,IF(MOD(原表!E17/150,0.01)=0,"0%","0.00%")))</f>
        <v>4/2.67%</v>
      </c>
      <c r="F20" s="24" t="str">
        <f>原表!F17&amp;IF(原表!F17/150=0,"","/"&amp;TEXT(原表!F17/150,IF(MOD(原表!F17/150,0.01)=0,"0%","0.00%")))</f>
        <v>4/2.67%</v>
      </c>
      <c r="G20" s="24" t="str">
        <f>原表!G17&amp;IF(原表!G17/150=0,"","/"&amp;TEXT(原表!G17/150,IF(MOD(原表!G17/150,0.01)=0,"0%","0.00%")))</f>
        <v>0</v>
      </c>
      <c r="H20" s="24" t="str">
        <f>原表!H17&amp;IF(原表!H17/150=0,"","/"&amp;TEXT(原表!H17/150,IF(MOD(原表!H17/150,0.01)=0,"0%","0.00%")))</f>
        <v>12/8%</v>
      </c>
      <c r="I20" s="24" t="str">
        <f>原表!I17&amp;IF(原表!I17/150=0,"","/"&amp;TEXT(原表!I17/150,IF(MOD(原表!I17/150,0.01)=0,"0%","0.00%")))</f>
        <v>14/9.33%</v>
      </c>
      <c r="J20" s="24" t="str">
        <f>原表!J17&amp;IF(原表!J17/150=0,"","/"&amp;TEXT(原表!J17/150,IF(MOD(原表!J17/150,0.01)=0,"0%","0.00%")))</f>
        <v>14/9.33%</v>
      </c>
      <c r="K20" s="24" t="str">
        <f>原表!K17&amp;IF(原表!K17/150=0,"","/"&amp;TEXT(原表!K17/150,IF(MOD(原表!K17/150,0.01)=0,"0%","0.00%")))</f>
        <v>48/32%</v>
      </c>
      <c r="L20" s="24" t="str">
        <f>原表!L17&amp;IF(原表!L17/150=0,"","/"&amp;TEXT(原表!L17/150,IF(MOD(原表!L17/150,0.01)=0,"0%","0.00%")))</f>
        <v>10/6.67%</v>
      </c>
      <c r="M20" s="24" t="str">
        <f>原表!M17&amp;IF(原表!M17/150=0,"","/"&amp;TEXT(原表!M17/150,IF(MOD(原表!M17/150,0.01)=0,"0%","0.00%")))</f>
        <v>26/17.33%</v>
      </c>
      <c r="N20" s="24" t="str">
        <f>原表!N17&amp;IF(原表!N17/150=0,"","/"&amp;TEXT(原表!N17/150,IF(MOD(原表!N17/150,0.01)=0,"0%","0.00%")))</f>
        <v>4/2.67%</v>
      </c>
      <c r="O20" s="24" t="str">
        <f>原表!O17&amp;IF(原表!O17/150=0,"","/"&amp;TEXT(原表!O17/150,IF(MOD(原表!O17/150,0.01)=0,"0%","0.00%")))</f>
        <v>10/6.67%</v>
      </c>
      <c r="P20" s="24" t="str">
        <f>原表!P17&amp;IF(原表!P17/150=0,"","/"&amp;TEXT(原表!P17/150,IF(MOD(原表!P17/150,0.01)=0,"0%","0.00%")))</f>
        <v>50/33.33%</v>
      </c>
    </row>
    <row r="21" customFormat="1" ht="18" spans="2:16">
      <c r="B21" s="6" t="s">
        <v>16</v>
      </c>
      <c r="C21" s="24" t="str">
        <f>原表!C19&amp;IF(原表!C19/150=0,"","/"&amp;TEXT(原表!C19/150,IF(MOD(原表!C19/150,0.01)=0,"0%","0.00%")))</f>
        <v>43/28.67%</v>
      </c>
      <c r="D21" s="24" t="str">
        <f>原表!D19&amp;IF(原表!D19/150=0,"","/"&amp;TEXT(原表!D19/150,IF(MOD(原表!D19/150,0.01)=0,"0%","0.00%")))</f>
        <v>18.08/12.05%</v>
      </c>
      <c r="E21" s="24" t="str">
        <f>原表!E19&amp;IF(原表!E19/150=0,"","/"&amp;TEXT(原表!E19/150,IF(MOD(原表!E19/150,0.01)=0,"0%","0.00%")))</f>
        <v>2.67/1.78%</v>
      </c>
      <c r="F21" s="24" t="str">
        <f>原表!F19&amp;IF(原表!F19/150=0,"","/"&amp;TEXT(原表!F19/150,IF(MOD(原表!F19/150,0.01)=0,"0%","0.00%")))</f>
        <v>3.83/2.55%</v>
      </c>
      <c r="G21" s="24" t="str">
        <f>原表!G19&amp;IF(原表!G19/150=0,"","/"&amp;TEXT(原表!G19/150,IF(MOD(原表!G19/150,0.01)=0,"0%","0.00%")))</f>
        <v>1.83/1.22%</v>
      </c>
      <c r="H21" s="24" t="str">
        <f>原表!H19&amp;IF(原表!H19/150=0,"","/"&amp;TEXT(原表!H19/150,IF(MOD(原表!H19/150,0.01)=0,"0%","0.00%")))</f>
        <v>16.25/10.83%</v>
      </c>
      <c r="I21" s="24" t="str">
        <f>原表!I19&amp;IF(原表!I19/150=0,"","/"&amp;TEXT(原表!I19/150,IF(MOD(原表!I19/150,0.01)=0,"0%","0.00%")))</f>
        <v>11.25/7.50%</v>
      </c>
      <c r="J21" s="24" t="str">
        <f>原表!J19&amp;IF(原表!J19/150=0,"","/"&amp;TEXT(原表!J19/150,IF(MOD(原表!J19/150,0.01)=0,"0%","0.00%")))</f>
        <v>14.25/9.50%</v>
      </c>
      <c r="K21" s="24" t="str">
        <f>原表!K19&amp;IF(原表!K19/150=0,"","/"&amp;TEXT(原表!K19/150,IF(MOD(原表!K19/150,0.01)=0,"0%","0.00%")))</f>
        <v>50.08/33.39%</v>
      </c>
      <c r="L21" s="24" t="str">
        <f>原表!L19&amp;IF(原表!L19/150=0,"","/"&amp;TEXT(原表!L19/150,IF(MOD(原表!L19/150,0.01)=0,"0%","0.00%")))</f>
        <v>8.83/5.89%</v>
      </c>
      <c r="M21" s="24" t="str">
        <f>原表!M19&amp;IF(原表!M19/150=0,"","/"&amp;TEXT(原表!M19/150,IF(MOD(原表!M19/150,0.01)=0,"0%","0.00%")))</f>
        <v>14.92/9.95%</v>
      </c>
      <c r="N21" s="24" t="str">
        <f>原表!N19&amp;IF(原表!N19/150=0,"","/"&amp;TEXT(原表!N19/150,IF(MOD(原表!N19/150,0.01)=0,"0%","0.00%")))</f>
        <v>5.33/3.55%</v>
      </c>
      <c r="O21" s="24" t="str">
        <f>原表!O19&amp;IF(原表!O19/150=0,"","/"&amp;TEXT(原表!O19/150,IF(MOD(原表!O19/150,0.01)=0,"0%","0.00%")))</f>
        <v>9.75/6.50%</v>
      </c>
      <c r="P21" s="24" t="str">
        <f>原表!P19&amp;IF(原表!P19/150=0,"","/"&amp;TEXT(原表!P19/150,IF(MOD(原表!P19/150,0.01)=0,"0%","0.00%")))</f>
        <v>38.83/25.89%</v>
      </c>
    </row>
    <row r="22" customFormat="1" ht="14" customHeight="1" spans="2:16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customFormat="1" ht="14" customHeight="1" spans="2:16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customFormat="1" ht="14" customHeight="1" spans="2:16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1" ht="14" customHeight="1" spans="2:16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customFormat="1" ht="14" customHeight="1" spans="2:16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customFormat="1" ht="14" customHeight="1" spans="2:16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customFormat="1" ht="14" customHeight="1" spans="2:16"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customFormat="1" ht="14" customHeight="1" spans="2:2">
      <c r="B29" s="11"/>
    </row>
    <row r="30" customFormat="1" ht="14" customHeight="1" spans="2:15">
      <c r="B30" s="11"/>
      <c r="C30" s="11"/>
      <c r="F30" s="13" t="s">
        <v>17</v>
      </c>
      <c r="G30" s="14"/>
      <c r="H30" s="14"/>
      <c r="I30" s="14"/>
      <c r="J30" s="14"/>
      <c r="K30" s="14"/>
      <c r="L30" s="20"/>
      <c r="M30" s="19"/>
      <c r="N30" s="19"/>
      <c r="O30" s="19"/>
    </row>
    <row r="31" customFormat="1" ht="16" customHeight="1" spans="2:15">
      <c r="B31" s="11"/>
      <c r="C31" s="11"/>
      <c r="F31" s="15"/>
      <c r="G31" s="16"/>
      <c r="H31" s="16"/>
      <c r="I31" s="16"/>
      <c r="J31" s="16"/>
      <c r="K31" s="16"/>
      <c r="L31" s="21"/>
      <c r="M31" s="19"/>
      <c r="N31" s="19"/>
      <c r="O31" s="19"/>
    </row>
    <row r="32" customFormat="1" ht="16" customHeight="1" spans="2:15">
      <c r="B32" s="11"/>
      <c r="C32" s="11"/>
      <c r="F32" s="15"/>
      <c r="G32" s="16"/>
      <c r="H32" s="16"/>
      <c r="I32" s="16"/>
      <c r="J32" s="16"/>
      <c r="K32" s="16"/>
      <c r="L32" s="21"/>
      <c r="M32" s="19"/>
      <c r="N32" s="19"/>
      <c r="O32" s="19"/>
    </row>
    <row r="33" customFormat="1" ht="16" customHeight="1" spans="2:12">
      <c r="B33" s="11"/>
      <c r="C33" s="11"/>
      <c r="F33" s="15"/>
      <c r="G33" s="16"/>
      <c r="H33" s="16"/>
      <c r="I33" s="16"/>
      <c r="J33" s="16"/>
      <c r="K33" s="16"/>
      <c r="L33" s="21"/>
    </row>
    <row r="34" customFormat="1" ht="16" customHeight="1" spans="2:12">
      <c r="B34" s="11"/>
      <c r="C34" s="11"/>
      <c r="F34" s="17"/>
      <c r="G34" s="18"/>
      <c r="H34" s="18"/>
      <c r="I34" s="18"/>
      <c r="J34" s="18"/>
      <c r="K34" s="18"/>
      <c r="L34" s="22"/>
    </row>
    <row r="35" customFormat="1" ht="16" customHeight="1" spans="2:3">
      <c r="B35" s="11"/>
      <c r="C35" s="11"/>
    </row>
    <row r="36" customFormat="1" ht="14" customHeight="1" spans="2:3">
      <c r="B36" s="11"/>
      <c r="C36" s="11"/>
    </row>
    <row r="37" customFormat="1" ht="14" customHeight="1" spans="2:2">
      <c r="B37" s="11"/>
    </row>
    <row r="38" customFormat="1" ht="14" customHeight="1" spans="2:2">
      <c r="B38" s="11"/>
    </row>
  </sheetData>
  <mergeCells count="6">
    <mergeCell ref="E7:K7"/>
    <mergeCell ref="L7:P7"/>
    <mergeCell ref="B7:B8"/>
    <mergeCell ref="C7:C8"/>
    <mergeCell ref="D7:D8"/>
    <mergeCell ref="F30:L34"/>
  </mergeCells>
  <pageMargins left="0.7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31"/>
  <sheetViews>
    <sheetView workbookViewId="0">
      <selection activeCell="E25" sqref="E25"/>
    </sheetView>
  </sheetViews>
  <sheetFormatPr defaultColWidth="9" defaultRowHeight="14.25"/>
  <cols>
    <col min="2" max="2" width="15.625" customWidth="1"/>
    <col min="3" max="3" width="13.5" customWidth="1"/>
    <col min="4" max="4" width="13.1666666666667" customWidth="1"/>
    <col min="5" max="5" width="11" customWidth="1"/>
    <col min="6" max="6" width="10.5" customWidth="1"/>
    <col min="7" max="7" width="9" customWidth="1"/>
    <col min="8" max="8" width="11.375" customWidth="1"/>
    <col min="9" max="9" width="10.875" customWidth="1"/>
    <col min="10" max="10" width="11.5" customWidth="1"/>
    <col min="11" max="11" width="13.0833333333333" customWidth="1"/>
    <col min="12" max="12" width="12" customWidth="1"/>
    <col min="13" max="13" width="11.8333333333333" customWidth="1"/>
    <col min="14" max="14" width="14.0916666666667" customWidth="1"/>
    <col min="15" max="15" width="11.5" customWidth="1"/>
    <col min="16" max="16" width="12.875" customWidth="1"/>
  </cols>
  <sheetData>
    <row r="4" ht="24.75" customHeight="1" spans="2:17">
      <c r="B4" s="3" t="s">
        <v>0</v>
      </c>
      <c r="C4" s="4" t="s">
        <v>1</v>
      </c>
      <c r="D4" s="4" t="s">
        <v>2</v>
      </c>
      <c r="E4" s="5" t="s">
        <v>3</v>
      </c>
      <c r="F4" s="5"/>
      <c r="G4" s="5"/>
      <c r="H4" s="5"/>
      <c r="I4" s="5"/>
      <c r="J4" s="5"/>
      <c r="K4" s="5"/>
      <c r="L4" s="5" t="s">
        <v>4</v>
      </c>
      <c r="M4" s="5"/>
      <c r="N4" s="5"/>
      <c r="O4" s="5"/>
      <c r="P4" s="5"/>
      <c r="Q4" s="4" t="s">
        <v>18</v>
      </c>
    </row>
    <row r="5" s="1" customFormat="1" ht="18" customHeight="1" spans="2:17">
      <c r="B5" s="3"/>
      <c r="C5" s="4"/>
      <c r="D5" s="4"/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11</v>
      </c>
      <c r="Q5" s="4"/>
    </row>
    <row r="6" s="1" customFormat="1" ht="18" customHeight="1" spans="2:17">
      <c r="B6" s="6">
        <v>2026</v>
      </c>
      <c r="C6" s="4">
        <v>46</v>
      </c>
      <c r="D6" s="4">
        <v>20</v>
      </c>
      <c r="E6" s="4">
        <v>0</v>
      </c>
      <c r="F6" s="4">
        <v>4</v>
      </c>
      <c r="G6" s="4">
        <v>0</v>
      </c>
      <c r="H6" s="4">
        <v>24</v>
      </c>
      <c r="I6" s="4">
        <v>9</v>
      </c>
      <c r="J6" s="4">
        <v>19</v>
      </c>
      <c r="K6" s="7">
        <f>SUM(E6:J6)</f>
        <v>56</v>
      </c>
      <c r="L6" s="4">
        <v>0</v>
      </c>
      <c r="M6" s="4">
        <v>14</v>
      </c>
      <c r="N6" s="4">
        <v>4</v>
      </c>
      <c r="O6" s="4">
        <v>10</v>
      </c>
      <c r="P6" s="7">
        <f>SUM(L6:O6)</f>
        <v>28</v>
      </c>
      <c r="Q6" s="23">
        <f>SUM(C6:J6,L6:O6)</f>
        <v>150</v>
      </c>
    </row>
    <row r="7" s="1" customFormat="1" ht="18" customHeight="1" spans="2:17">
      <c r="B7" s="6">
        <v>2025</v>
      </c>
      <c r="C7" s="6">
        <v>46</v>
      </c>
      <c r="D7" s="7">
        <v>16</v>
      </c>
      <c r="E7" s="7">
        <v>0</v>
      </c>
      <c r="F7" s="7">
        <v>4</v>
      </c>
      <c r="G7" s="7">
        <v>4</v>
      </c>
      <c r="H7" s="7">
        <v>24</v>
      </c>
      <c r="I7" s="7">
        <v>9</v>
      </c>
      <c r="J7" s="7">
        <v>15</v>
      </c>
      <c r="K7" s="7">
        <f>SUM(E7:J7)</f>
        <v>56</v>
      </c>
      <c r="L7" s="7">
        <v>8</v>
      </c>
      <c r="M7" s="7">
        <v>10</v>
      </c>
      <c r="N7" s="7">
        <v>4</v>
      </c>
      <c r="O7" s="7">
        <v>10</v>
      </c>
      <c r="P7" s="7">
        <f>SUM(L7:O7)</f>
        <v>32</v>
      </c>
      <c r="Q7" s="23">
        <f>SUM(C7:J7,L7:O7)</f>
        <v>150</v>
      </c>
    </row>
    <row r="8" s="1" customFormat="1" ht="18" customHeight="1" spans="2:17">
      <c r="B8" s="6">
        <v>2024</v>
      </c>
      <c r="C8" s="8">
        <v>42</v>
      </c>
      <c r="D8" s="7">
        <v>18</v>
      </c>
      <c r="E8" s="7">
        <v>4</v>
      </c>
      <c r="F8" s="7">
        <v>0</v>
      </c>
      <c r="G8" s="7">
        <v>0</v>
      </c>
      <c r="H8" s="7">
        <v>28</v>
      </c>
      <c r="I8" s="7">
        <v>9</v>
      </c>
      <c r="J8" s="7">
        <v>15</v>
      </c>
      <c r="K8" s="7">
        <f t="shared" ref="K8:K17" si="0">SUM(E8:J8)</f>
        <v>56</v>
      </c>
      <c r="L8" s="7">
        <v>4</v>
      </c>
      <c r="M8" s="7">
        <v>16</v>
      </c>
      <c r="N8" s="7">
        <v>4</v>
      </c>
      <c r="O8" s="7">
        <v>10</v>
      </c>
      <c r="P8" s="7">
        <f t="shared" ref="P8:P17" si="1">SUM(L8:O8)</f>
        <v>34</v>
      </c>
      <c r="Q8" s="23">
        <f t="shared" ref="Q8:Q17" si="2">SUM(C8:J8,L8:O8)</f>
        <v>150</v>
      </c>
    </row>
    <row r="9" ht="18" spans="2:17">
      <c r="B9" s="6">
        <v>2023</v>
      </c>
      <c r="C9" s="8">
        <v>43</v>
      </c>
      <c r="D9" s="7">
        <v>15</v>
      </c>
      <c r="E9" s="7">
        <v>0</v>
      </c>
      <c r="F9" s="7">
        <v>0</v>
      </c>
      <c r="G9" s="7">
        <v>4</v>
      </c>
      <c r="H9" s="7">
        <v>19</v>
      </c>
      <c r="I9" s="7">
        <v>13</v>
      </c>
      <c r="J9" s="7">
        <v>15</v>
      </c>
      <c r="K9" s="7">
        <f t="shared" si="0"/>
        <v>51</v>
      </c>
      <c r="L9" s="7">
        <v>18</v>
      </c>
      <c r="M9" s="7">
        <v>9</v>
      </c>
      <c r="N9" s="7">
        <v>4</v>
      </c>
      <c r="O9" s="7">
        <v>10</v>
      </c>
      <c r="P9" s="7">
        <f t="shared" si="1"/>
        <v>41</v>
      </c>
      <c r="Q9" s="23">
        <f t="shared" si="2"/>
        <v>150</v>
      </c>
    </row>
    <row r="10" ht="18" spans="2:17">
      <c r="B10" s="6">
        <v>2022</v>
      </c>
      <c r="C10" s="8">
        <v>44</v>
      </c>
      <c r="D10" s="7">
        <v>15</v>
      </c>
      <c r="E10" s="7">
        <v>5</v>
      </c>
      <c r="F10" s="7">
        <v>5</v>
      </c>
      <c r="G10" s="7">
        <v>5</v>
      </c>
      <c r="H10" s="7">
        <v>16</v>
      </c>
      <c r="I10" s="7">
        <v>10</v>
      </c>
      <c r="J10" s="7">
        <v>15</v>
      </c>
      <c r="K10" s="7">
        <f t="shared" si="0"/>
        <v>56</v>
      </c>
      <c r="L10" s="7">
        <v>10</v>
      </c>
      <c r="M10" s="7">
        <v>10</v>
      </c>
      <c r="N10" s="7">
        <v>5</v>
      </c>
      <c r="O10" s="7">
        <v>10</v>
      </c>
      <c r="P10" s="7">
        <f t="shared" si="1"/>
        <v>35</v>
      </c>
      <c r="Q10" s="23">
        <f t="shared" si="2"/>
        <v>150</v>
      </c>
    </row>
    <row r="11" ht="18" spans="2:17">
      <c r="B11" s="6">
        <v>2021</v>
      </c>
      <c r="C11" s="8">
        <v>43</v>
      </c>
      <c r="D11" s="7">
        <v>15</v>
      </c>
      <c r="E11" s="7">
        <v>0</v>
      </c>
      <c r="F11" s="7">
        <v>5</v>
      </c>
      <c r="G11" s="7">
        <v>5</v>
      </c>
      <c r="H11" s="7">
        <v>15</v>
      </c>
      <c r="I11" s="7">
        <v>15</v>
      </c>
      <c r="J11" s="7">
        <v>11</v>
      </c>
      <c r="K11" s="7">
        <f t="shared" si="0"/>
        <v>51</v>
      </c>
      <c r="L11" s="7">
        <v>5</v>
      </c>
      <c r="M11" s="7">
        <v>12</v>
      </c>
      <c r="N11" s="7">
        <v>14</v>
      </c>
      <c r="O11" s="7">
        <v>10</v>
      </c>
      <c r="P11" s="7">
        <f t="shared" si="1"/>
        <v>41</v>
      </c>
      <c r="Q11" s="23">
        <f t="shared" si="2"/>
        <v>150</v>
      </c>
    </row>
    <row r="12" s="2" customFormat="1" ht="18" spans="2:17">
      <c r="B12" s="9">
        <v>2020</v>
      </c>
      <c r="C12" s="8">
        <v>43</v>
      </c>
      <c r="D12" s="7">
        <v>20</v>
      </c>
      <c r="E12" s="7">
        <v>5</v>
      </c>
      <c r="F12" s="7">
        <v>5</v>
      </c>
      <c r="G12" s="7">
        <v>0</v>
      </c>
      <c r="H12" s="7">
        <v>19</v>
      </c>
      <c r="I12" s="7">
        <v>4</v>
      </c>
      <c r="J12" s="7">
        <v>16</v>
      </c>
      <c r="K12" s="7">
        <f t="shared" si="0"/>
        <v>49</v>
      </c>
      <c r="L12" s="7">
        <v>11</v>
      </c>
      <c r="M12" s="7">
        <v>18</v>
      </c>
      <c r="N12" s="7">
        <v>0</v>
      </c>
      <c r="O12" s="7">
        <v>9</v>
      </c>
      <c r="P12" s="7">
        <f t="shared" si="1"/>
        <v>38</v>
      </c>
      <c r="Q12" s="23">
        <f t="shared" si="2"/>
        <v>150</v>
      </c>
    </row>
    <row r="13" ht="18" spans="2:17">
      <c r="B13" s="6">
        <v>2019</v>
      </c>
      <c r="C13" s="8">
        <v>44</v>
      </c>
      <c r="D13" s="7">
        <v>18</v>
      </c>
      <c r="E13" s="7">
        <v>5</v>
      </c>
      <c r="F13" s="7">
        <v>5</v>
      </c>
      <c r="G13" s="7">
        <v>0</v>
      </c>
      <c r="H13" s="7">
        <v>15</v>
      </c>
      <c r="I13" s="7">
        <v>15</v>
      </c>
      <c r="J13" s="7">
        <v>10</v>
      </c>
      <c r="K13" s="7">
        <f t="shared" si="0"/>
        <v>50</v>
      </c>
      <c r="L13" s="7">
        <v>10</v>
      </c>
      <c r="M13" s="7">
        <v>13</v>
      </c>
      <c r="N13" s="7">
        <v>5</v>
      </c>
      <c r="O13" s="7">
        <v>10</v>
      </c>
      <c r="P13" s="7">
        <f t="shared" si="1"/>
        <v>38</v>
      </c>
      <c r="Q13" s="23">
        <f t="shared" si="2"/>
        <v>150</v>
      </c>
    </row>
    <row r="14" ht="18" spans="2:17">
      <c r="B14" s="6">
        <v>2018</v>
      </c>
      <c r="C14" s="8">
        <v>32</v>
      </c>
      <c r="D14" s="7">
        <v>20</v>
      </c>
      <c r="E14" s="7">
        <v>4</v>
      </c>
      <c r="F14" s="7">
        <v>4</v>
      </c>
      <c r="G14" s="7">
        <v>4</v>
      </c>
      <c r="H14" s="7">
        <v>4</v>
      </c>
      <c r="I14" s="7">
        <v>18</v>
      </c>
      <c r="J14" s="7">
        <v>14</v>
      </c>
      <c r="K14" s="7">
        <f t="shared" si="0"/>
        <v>48</v>
      </c>
      <c r="L14" s="7">
        <v>10</v>
      </c>
      <c r="M14" s="7">
        <v>20</v>
      </c>
      <c r="N14" s="7">
        <v>10</v>
      </c>
      <c r="O14" s="7">
        <v>10</v>
      </c>
      <c r="P14" s="7">
        <f t="shared" si="1"/>
        <v>50</v>
      </c>
      <c r="Q14" s="23">
        <f t="shared" si="2"/>
        <v>150</v>
      </c>
    </row>
    <row r="15" ht="18" spans="2:17">
      <c r="B15" s="6">
        <v>2017</v>
      </c>
      <c r="C15" s="8">
        <v>47</v>
      </c>
      <c r="D15" s="7">
        <v>20</v>
      </c>
      <c r="E15" s="7">
        <v>5</v>
      </c>
      <c r="F15" s="7">
        <v>5</v>
      </c>
      <c r="G15" s="7">
        <v>0</v>
      </c>
      <c r="H15" s="7">
        <v>4</v>
      </c>
      <c r="I15" s="7">
        <v>9</v>
      </c>
      <c r="J15" s="7">
        <v>17</v>
      </c>
      <c r="K15" s="7">
        <f t="shared" si="0"/>
        <v>40</v>
      </c>
      <c r="L15" s="7">
        <v>10</v>
      </c>
      <c r="M15" s="7">
        <v>18</v>
      </c>
      <c r="N15" s="7">
        <v>5</v>
      </c>
      <c r="O15" s="7">
        <v>10</v>
      </c>
      <c r="P15" s="7">
        <f t="shared" si="1"/>
        <v>43</v>
      </c>
      <c r="Q15" s="23">
        <f t="shared" si="2"/>
        <v>150</v>
      </c>
    </row>
    <row r="16" ht="18" spans="2:17">
      <c r="B16" s="6">
        <v>2016</v>
      </c>
      <c r="C16" s="8">
        <v>54</v>
      </c>
      <c r="D16" s="7">
        <v>20</v>
      </c>
      <c r="E16" s="7">
        <v>0</v>
      </c>
      <c r="F16" s="7">
        <v>5</v>
      </c>
      <c r="G16" s="7">
        <v>0</v>
      </c>
      <c r="H16" s="7">
        <v>15</v>
      </c>
      <c r="I16" s="7">
        <v>10</v>
      </c>
      <c r="J16" s="7">
        <v>10</v>
      </c>
      <c r="K16" s="7">
        <f t="shared" si="0"/>
        <v>40</v>
      </c>
      <c r="L16" s="7">
        <v>10</v>
      </c>
      <c r="M16" s="7">
        <v>13</v>
      </c>
      <c r="N16" s="7">
        <v>5</v>
      </c>
      <c r="O16" s="7">
        <v>8</v>
      </c>
      <c r="P16" s="7">
        <f t="shared" si="1"/>
        <v>36</v>
      </c>
      <c r="Q16" s="23">
        <f t="shared" si="2"/>
        <v>150</v>
      </c>
    </row>
    <row r="17" ht="18" spans="2:17">
      <c r="B17" s="6">
        <v>2015</v>
      </c>
      <c r="C17" s="8">
        <v>32</v>
      </c>
      <c r="D17" s="7">
        <v>20</v>
      </c>
      <c r="E17" s="7">
        <v>4</v>
      </c>
      <c r="F17" s="7">
        <v>4</v>
      </c>
      <c r="G17" s="7">
        <v>0</v>
      </c>
      <c r="H17" s="7">
        <v>12</v>
      </c>
      <c r="I17" s="7">
        <v>14</v>
      </c>
      <c r="J17" s="7">
        <v>14</v>
      </c>
      <c r="K17" s="7">
        <f t="shared" si="0"/>
        <v>48</v>
      </c>
      <c r="L17" s="7">
        <v>10</v>
      </c>
      <c r="M17" s="7">
        <v>26</v>
      </c>
      <c r="N17" s="7">
        <v>4</v>
      </c>
      <c r="O17" s="7">
        <v>10</v>
      </c>
      <c r="P17" s="7">
        <f t="shared" si="1"/>
        <v>50</v>
      </c>
      <c r="Q17" s="23">
        <f t="shared" si="2"/>
        <v>150</v>
      </c>
    </row>
    <row r="18" ht="18" hidden="1" spans="2:17">
      <c r="B18" s="6" t="s">
        <v>19</v>
      </c>
      <c r="C18" s="8">
        <v>42.4</v>
      </c>
      <c r="D18" s="7">
        <v>18.1</v>
      </c>
      <c r="E18" s="7">
        <v>3.2</v>
      </c>
      <c r="F18" s="7">
        <v>3.8</v>
      </c>
      <c r="G18" s="7">
        <v>0</v>
      </c>
      <c r="H18" s="7">
        <v>28</v>
      </c>
      <c r="I18" s="7">
        <v>9</v>
      </c>
      <c r="J18" s="7">
        <v>15</v>
      </c>
      <c r="K18" s="7">
        <v>56</v>
      </c>
      <c r="L18" s="7">
        <v>4</v>
      </c>
      <c r="M18" s="7">
        <v>16</v>
      </c>
      <c r="N18" s="7">
        <v>4</v>
      </c>
      <c r="O18" s="7">
        <v>10</v>
      </c>
      <c r="P18" s="8">
        <v>40</v>
      </c>
      <c r="Q18" s="23"/>
    </row>
    <row r="19" ht="18" spans="2:17">
      <c r="B19" s="6" t="s">
        <v>20</v>
      </c>
      <c r="C19" s="10">
        <f>ROUND(AVERAGE(C6:C17),2)</f>
        <v>43</v>
      </c>
      <c r="D19" s="10">
        <f t="shared" ref="D19:Q19" si="3">ROUND(AVERAGE(D6:D17),2)</f>
        <v>18.08</v>
      </c>
      <c r="E19" s="10">
        <f t="shared" si="3"/>
        <v>2.67</v>
      </c>
      <c r="F19" s="10">
        <f t="shared" si="3"/>
        <v>3.83</v>
      </c>
      <c r="G19" s="10">
        <f t="shared" si="3"/>
        <v>1.83</v>
      </c>
      <c r="H19" s="10">
        <f t="shared" si="3"/>
        <v>16.25</v>
      </c>
      <c r="I19" s="10">
        <f t="shared" si="3"/>
        <v>11.25</v>
      </c>
      <c r="J19" s="10">
        <f t="shared" si="3"/>
        <v>14.25</v>
      </c>
      <c r="K19" s="10">
        <f t="shared" si="3"/>
        <v>50.08</v>
      </c>
      <c r="L19" s="10">
        <f t="shared" si="3"/>
        <v>8.83</v>
      </c>
      <c r="M19" s="10">
        <f t="shared" si="3"/>
        <v>14.92</v>
      </c>
      <c r="N19" s="10">
        <f t="shared" si="3"/>
        <v>5.33</v>
      </c>
      <c r="O19" s="10">
        <f t="shared" si="3"/>
        <v>9.75</v>
      </c>
      <c r="P19" s="10">
        <f t="shared" si="3"/>
        <v>38.83</v>
      </c>
      <c r="Q19" s="10">
        <f t="shared" si="3"/>
        <v>150</v>
      </c>
    </row>
    <row r="20" ht="14" customHeight="1" spans="2:16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customFormat="1" ht="14" customHeight="1" spans="2:12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customFormat="1" ht="14" customHeight="1" spans="2:1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9"/>
      <c r="N22" s="19"/>
      <c r="O22" s="19"/>
    </row>
    <row r="23" customFormat="1" ht="16" customHeight="1" spans="2:1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9"/>
      <c r="N23" s="19"/>
      <c r="O23" s="19"/>
    </row>
    <row r="24" customFormat="1" ht="16" customHeight="1" spans="2:1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9"/>
      <c r="N24" s="19"/>
      <c r="O24" s="19"/>
    </row>
    <row r="25" customFormat="1" ht="16" customHeight="1" spans="2:12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customFormat="1" ht="16" customHeight="1" spans="2:2">
      <c r="B26" s="11"/>
    </row>
    <row r="27" customFormat="1" ht="16" customHeight="1" spans="2:12">
      <c r="B27" s="11"/>
      <c r="C27" s="11"/>
      <c r="F27" s="13" t="s">
        <v>17</v>
      </c>
      <c r="G27" s="14"/>
      <c r="H27" s="14"/>
      <c r="I27" s="14"/>
      <c r="J27" s="14"/>
      <c r="K27" s="14"/>
      <c r="L27" s="20"/>
    </row>
    <row r="28" customFormat="1" ht="14" customHeight="1" spans="2:12">
      <c r="B28" s="11"/>
      <c r="C28" s="11"/>
      <c r="F28" s="15"/>
      <c r="G28" s="16"/>
      <c r="H28" s="16"/>
      <c r="I28" s="16"/>
      <c r="J28" s="16"/>
      <c r="K28" s="16"/>
      <c r="L28" s="21"/>
    </row>
    <row r="29" customFormat="1" ht="14" customHeight="1" spans="2:12">
      <c r="B29" s="11"/>
      <c r="C29" s="11"/>
      <c r="F29" s="15"/>
      <c r="G29" s="16"/>
      <c r="H29" s="16"/>
      <c r="I29" s="16"/>
      <c r="J29" s="16"/>
      <c r="K29" s="16"/>
      <c r="L29" s="21"/>
    </row>
    <row r="30" customFormat="1" ht="14" customHeight="1" spans="2:12">
      <c r="B30" s="11"/>
      <c r="C30" s="11"/>
      <c r="F30" s="15"/>
      <c r="G30" s="16"/>
      <c r="H30" s="16"/>
      <c r="I30" s="16"/>
      <c r="J30" s="16"/>
      <c r="K30" s="16"/>
      <c r="L30" s="21"/>
    </row>
    <row r="31" ht="18.75" spans="2:12">
      <c r="B31" s="11"/>
      <c r="C31" s="11"/>
      <c r="F31" s="17"/>
      <c r="G31" s="18"/>
      <c r="H31" s="18"/>
      <c r="I31" s="18"/>
      <c r="J31" s="18"/>
      <c r="K31" s="18"/>
      <c r="L31" s="22"/>
    </row>
  </sheetData>
  <mergeCells count="7">
    <mergeCell ref="E4:K4"/>
    <mergeCell ref="L4:P4"/>
    <mergeCell ref="B4:B5"/>
    <mergeCell ref="C4:C5"/>
    <mergeCell ref="D4:D5"/>
    <mergeCell ref="Q4:Q5"/>
    <mergeCell ref="F27:L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展示表</vt:lpstr>
      <vt:lpstr>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</dc:creator>
  <cp:lastModifiedBy>pluto</cp:lastModifiedBy>
  <dcterms:created xsi:type="dcterms:W3CDTF">2015-06-05T18:17:00Z</dcterms:created>
  <dcterms:modified xsi:type="dcterms:W3CDTF">2026-09-29T07:44:05Z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B3CEE75350A54291B35D2F52298A3D0C</vt:lpwstr>
  </property>
  <property fmtid="{D5CDD505-2E9C-101B-9397-08002B2CF9AE}" pid="3" name="KSOProductBuildVer">
    <vt:lpwstr>2052-11.8.2.12089</vt:lpwstr>
  </property>
</Properties>
</file>